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5W1H Gap Analysis" sheetId="2" state="visible" r:id="rId4"/>
    <sheet name="Shark Tank Extras" sheetId="3" state="visible" r:id="rId5"/>
    <sheet name="Inputs Needed" sheetId="4" state="visible" r:id="rId6"/>
  </sheets>
  <definedNames>
    <definedName function="false" hidden="true" localSheetId="1" name="_xlnm._FilterDatabase" vbProcedure="false">'5W1H Gap Analysis'!$A$4:$E$25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<sst xmlns="http://schemas.openxmlformats.org/spreadsheetml/2006/main" count="175" uniqueCount="122">
  <si>
    <t xml:space="preserve">GeetorusAI Pitch Readiness Summary</t>
  </si>
  <si>
    <t xml:space="preserve">Counts update automatically from the other sheets' Status columns.</t>
  </si>
  <si>
    <t xml:space="preserve">Area</t>
  </si>
  <si>
    <t xml:space="preserve">Covered</t>
  </si>
  <si>
    <t xml:space="preserve">Partial</t>
  </si>
  <si>
    <t xml:space="preserve">Missing</t>
  </si>
  <si>
    <t xml:space="preserve">Total</t>
  </si>
  <si>
    <t xml:space="preserve">% Covered</t>
  </si>
  <si>
    <t xml:space="preserve">What</t>
  </si>
  <si>
    <t xml:space="preserve">Who</t>
  </si>
  <si>
    <t xml:space="preserve">Where</t>
  </si>
  <si>
    <t xml:space="preserve">When</t>
  </si>
  <si>
    <t xml:space="preserve">Why</t>
  </si>
  <si>
    <t xml:space="preserve">How</t>
  </si>
  <si>
    <t xml:space="preserve">Shark Tank Extras</t>
  </si>
  <si>
    <t xml:space="preserve">Source: gap analysis of the GeetorusAI Architecture Specification &amp; Strategic Brief (v0.3.1) against Shark Tank pitch requirements.</t>
  </si>
  <si>
    <t xml:space="preserve">GeetorusAI Shark Tank Pitch: 5W1H Gap Analysis</t>
  </si>
  <si>
    <t xml:space="preserve">Status key: Covered = in current deck | Partial = in deck but incomplete | Missing = not in deck. Edit the Status and Action columns as you work.</t>
  </si>
  <si>
    <t xml:space="preserve">Pitch Needs</t>
  </si>
  <si>
    <t xml:space="preserve">Status in Current Deck</t>
  </si>
  <si>
    <t xml:space="preserve">What the Deck Has / Gap</t>
  </si>
  <si>
    <t xml:space="preserve">Action to Close</t>
  </si>
  <si>
    <t xml:space="preserve">One-line description</t>
  </si>
  <si>
    <t xml:space="preserve">Strong description: control plane / OS for multi-agent teams.</t>
  </si>
  <si>
    <t xml:space="preserve">Tighten to one spoken sentence.</t>
  </si>
  <si>
    <t xml:space="preserve">Live demo or screenshots</t>
  </si>
  <si>
    <t xml:space="preserve">No demo or product screenshots in the deck.</t>
  </si>
  <si>
    <t xml:space="preserve">Capture a 60-90 sec demo or key UI screenshots.</t>
  </si>
  <si>
    <t xml:space="preserve">Current stage (built vs. planned)</t>
  </si>
  <si>
    <t xml:space="preserve">Audited capability matrix exists (16 verified, 4 partial, 4 roadmap).</t>
  </si>
  <si>
    <t xml:space="preserve">Add one clear 'built vs. planned' line to the pitch.</t>
  </si>
  <si>
    <t xml:space="preserve">Target customer personas</t>
  </si>
  <si>
    <t xml:space="preserve">Four personas: indie devs, startups, enterprise teams, AI researchers.</t>
  </si>
  <si>
    <t xml:space="preserve">Pick one beachhead persona to lead with.</t>
  </si>
  <si>
    <t xml:space="preserve">Who pays</t>
  </si>
  <si>
    <t xml:space="preserve">Personas imply payers, but the paying buyer is not named.</t>
  </si>
  <si>
    <t xml:space="preserve">State the economic buyer per tier.</t>
  </si>
  <si>
    <t xml:space="preserve">Founders and team credentials</t>
  </si>
  <si>
    <t xml:space="preserve">No team slide.</t>
  </si>
  <si>
    <t xml:space="preserve">Add founders, roles, and relevant credentials.</t>
  </si>
  <si>
    <t xml:space="preserve">Named users, pilots, or design partners</t>
  </si>
  <si>
    <t xml:space="preserve">None named.</t>
  </si>
  <si>
    <t xml:space="preserve">Secure and list at least one pilot or design partner.</t>
  </si>
  <si>
    <t xml:space="preserve">Market size (TAM/SAM/SOM)</t>
  </si>
  <si>
    <t xml:space="preserve">Only a one-line market context statement.</t>
  </si>
  <si>
    <t xml:space="preserve">Build a sourced TAM/SAM/SOM estimate.</t>
  </si>
  <si>
    <t xml:space="preserve">Target geography and segments</t>
  </si>
  <si>
    <t xml:space="preserve">Not stated.</t>
  </si>
  <si>
    <t xml:space="preserve">Decide the launch market (global, US, India?).</t>
  </si>
  <si>
    <t xml:space="preserve">Deployment footprint</t>
  </si>
  <si>
    <t xml:space="preserve">Self-hosted and hybrid cloud; air-gapped for enterprise.</t>
  </si>
  <si>
    <t xml:space="preserve">None.</t>
  </si>
  <si>
    <t xml:space="preserve">Why now</t>
  </si>
  <si>
    <t xml:space="preserve">Not addressed.</t>
  </si>
  <si>
    <t xml:space="preserve">Articulate the market timing argument.</t>
  </si>
  <si>
    <t xml:space="preserve">Milestones and roadmap</t>
  </si>
  <si>
    <t xml:space="preserve">Three phases: v0.3.1 now, v0.4.0 Q1-Q2, v0.5.0+ later.</t>
  </si>
  <si>
    <t xml:space="preserve">Update dates to the current calendar.</t>
  </si>
  <si>
    <t xml:space="preserve">Funding-linked milestones</t>
  </si>
  <si>
    <t xml:space="preserve">Roadmap is not tied to funding.</t>
  </si>
  <si>
    <t xml:space="preserve">Map what the raise unlocks and by when.</t>
  </si>
  <si>
    <t xml:space="preserve">Problem statement</t>
  </si>
  <si>
    <t xml:space="preserve">Siloed, ungoverned agents; runaway token cost; no verification.</t>
  </si>
  <si>
    <t xml:space="preserve">Differentiation</t>
  </si>
  <si>
    <t xml:space="preserve">Three pillars plus competitor matrix (LangGraph, CrewAI, AutoGen, OpenHands).</t>
  </si>
  <si>
    <t xml:space="preserve">Add a defensible moat statement (see Shark Tank Extras).</t>
  </si>
  <si>
    <t xml:space="preserve">Proof of demand / pain quantified</t>
  </si>
  <si>
    <t xml:space="preserve">No customer evidence.</t>
  </si>
  <si>
    <t xml:space="preserve">Add interviews, waitlist, or usage data.</t>
  </si>
  <si>
    <t xml:space="preserve">Sourcing for persona metrics ('5x velocity', '60% less manual review')</t>
  </si>
  <si>
    <t xml:space="preserve">Claims are unsourced.</t>
  </si>
  <si>
    <t xml:space="preserve">Source them or remove them.</t>
  </si>
  <si>
    <t xml:space="preserve">Business model tiers</t>
  </si>
  <si>
    <t xml:space="preserve">Open-core: OSS core, managed Pro/Teams, Enterprise control plane.</t>
  </si>
  <si>
    <t xml:space="preserve">Pricing with real numbers</t>
  </si>
  <si>
    <t xml:space="preserve">No prices for any tier.</t>
  </si>
  <si>
    <t xml:space="preserve">Propose pricing for Pro and Enterprise.</t>
  </si>
  <si>
    <t xml:space="preserve">Unit economics (CAC/LTV)</t>
  </si>
  <si>
    <t xml:space="preserve">Not in deck.</t>
  </si>
  <si>
    <t xml:space="preserve">Estimate CAC, LTV, and payback period.</t>
  </si>
  <si>
    <t xml:space="preserve">Go-to-market plan</t>
  </si>
  <si>
    <t xml:space="preserve">Define the path from OSS adoption to paid conversion.</t>
  </si>
  <si>
    <t xml:space="preserve">Shark Tank Specifics Beyond 5W1H</t>
  </si>
  <si>
    <t xml:space="preserve">None of these are in the current deck.</t>
  </si>
  <si>
    <t xml:space="preserve">Item</t>
  </si>
  <si>
    <t xml:space="preserve">What It Must Include</t>
  </si>
  <si>
    <t xml:space="preserve">Status</t>
  </si>
  <si>
    <t xml:space="preserve">Notes / Action</t>
  </si>
  <si>
    <t xml:space="preserve">The Ask</t>
  </si>
  <si>
    <t xml:space="preserve">Amount, equity offered, implied valuation</t>
  </si>
  <si>
    <t xml:space="preserve">Decide the number and defend the valuation.</t>
  </si>
  <si>
    <t xml:space="preserve">Use of funds</t>
  </si>
  <si>
    <t xml:space="preserve">Percentage split (engineering, GTM, infrastructure)</t>
  </si>
  <si>
    <t xml:space="preserve">Tie each bucket to a milestone.</t>
  </si>
  <si>
    <t xml:space="preserve">Traction</t>
  </si>
  <si>
    <t xml:space="preserve">GitHub stars, downloads, users, waitlist, revenue, anything measurable</t>
  </si>
  <si>
    <t xml:space="preserve">Gather whatever real numbers exist.</t>
  </si>
  <si>
    <t xml:space="preserve">Moat</t>
  </si>
  <si>
    <t xml:space="preserve">Why LangGraph, CrewAI, or a big lab can't copy it in six months</t>
  </si>
  <si>
    <t xml:space="preserve">Needs a clear defensibility argument.</t>
  </si>
  <si>
    <t xml:space="preserve">Risks and exit path</t>
  </si>
  <si>
    <t xml:space="preserve">What could go wrong, and how investors get returns</t>
  </si>
  <si>
    <t xml:space="preserve">Name top risks with mitigations; outline exit routes.</t>
  </si>
  <si>
    <t xml:space="preserve">2-3 minute spoken version</t>
  </si>
  <si>
    <t xml:space="preserve">A script that carries the pitch without the deck</t>
  </si>
  <si>
    <t xml:space="preserve">Draft after the inputs above are settled.</t>
  </si>
  <si>
    <t xml:space="preserve">Inputs Needed From You</t>
  </si>
  <si>
    <t xml:space="preserve">Legend: fill in the yellow cells in column C. If you don't have an answer, mark column D 'Yes' and placeholders will be proposed and flagged for your confirmation.</t>
  </si>
  <si>
    <t xml:space="preserve">#</t>
  </si>
  <si>
    <t xml:space="preserve">Input Needed</t>
  </si>
  <si>
    <t xml:space="preserve">Your Answer</t>
  </si>
  <si>
    <t xml:space="preserve">Placeholder OK?</t>
  </si>
  <si>
    <t xml:space="preserve">Ex.</t>
  </si>
  <si>
    <t xml:space="preserve">Example: The ask (amount, equity) and what the money funds</t>
  </si>
  <si>
    <t xml:space="preserve">$500K for 8% equity; 60% engineering, 30% go-to-market, 10% infrastructure</t>
  </si>
  <si>
    <t xml:space="preserve">No</t>
  </si>
  <si>
    <t xml:space="preserve">The ask (amount, equity) and what the money funds</t>
  </si>
  <si>
    <t xml:space="preserve">Any traction numbers (GitHub stars, users, pilots, revenue)</t>
  </si>
  <si>
    <t xml:space="preserve">Team details (founders, roles, credentials)</t>
  </si>
  <si>
    <t xml:space="preserve">Pricing ideas for the Pro and Enterprise tiers</t>
  </si>
  <si>
    <t xml:space="preserve">Target market (global, US, India?)</t>
  </si>
  <si>
    <t xml:space="preserve">Also pending: update model references in the deck (Claude 3.7, GPT-4o) to the current lineup (Claude Opus 5.5, Sonnet 5.5, Haiku 5.5).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</si>
</sst>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1D5DB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COUNTIFS('5W1H Gap Analysis'!$A$5:$A$25,$A5,'5W1H Gap Analysis'!$C$5:$C$25,"Covered")</f>
        <v>1</v>
      </c>
      <c r="C5" s="5" t="n">
        <f aca="false">COUNTIFS('5W1H Gap Analysis'!$A$5:$A$25,$A5,'5W1H Gap Analysis'!$C$5:$C$25,"Partial")</f>
        <v>1</v>
      </c>
      <c r="D5" s="5" t="n">
        <f aca="false">COUNTIFS('5W1H Gap Analysis'!$A$5:$A$25,$A5,'5W1H Gap Analysis'!$C$5:$C$25,"Missing")</f>
        <v>1</v>
      </c>
      <c r="E5" s="5" t="n">
        <f aca="false">SUM(B5:D5)</f>
        <v>3</v>
      </c>
      <c r="F5" s="6" t="n">
        <f aca="false">IF(E5=0,0,B5/E5)</f>
        <v>0.333333333333333</v>
      </c>
    </row>
    <row r="6" customFormat="false" ht="15" hidden="false" customHeight="false" outlineLevel="0" collapsed="false">
      <c r="A6" s="4" t="s">
        <v>9</v>
      </c>
      <c r="B6" s="5" t="n">
        <f aca="false">COUNTIFS('5W1H Gap Analysis'!$A$5:$A$25,$A6,'5W1H Gap Analysis'!$C$5:$C$25,"Covered")</f>
        <v>1</v>
      </c>
      <c r="C6" s="5" t="n">
        <f aca="false">COUNTIFS('5W1H Gap Analysis'!$A$5:$A$25,$A6,'5W1H Gap Analysis'!$C$5:$C$25,"Partial")</f>
        <v>1</v>
      </c>
      <c r="D6" s="5" t="n">
        <f aca="false">COUNTIFS('5W1H Gap Analysis'!$A$5:$A$25,$A6,'5W1H Gap Analysis'!$C$5:$C$25,"Missing")</f>
        <v>2</v>
      </c>
      <c r="E6" s="5" t="n">
        <f aca="false">SUM(B6:D6)</f>
        <v>4</v>
      </c>
      <c r="F6" s="6" t="n">
        <f aca="false">IF(E6=0,0,B6/E6)</f>
        <v>0.25</v>
      </c>
    </row>
    <row r="7" customFormat="false" ht="15" hidden="false" customHeight="false" outlineLevel="0" collapsed="false">
      <c r="A7" s="4" t="s">
        <v>10</v>
      </c>
      <c r="B7" s="5" t="n">
        <f aca="false">COUNTIFS('5W1H Gap Analysis'!$A$5:$A$25,$A7,'5W1H Gap Analysis'!$C$5:$C$25,"Covered")</f>
        <v>1</v>
      </c>
      <c r="C7" s="5" t="n">
        <f aca="false">COUNTIFS('5W1H Gap Analysis'!$A$5:$A$25,$A7,'5W1H Gap Analysis'!$C$5:$C$25,"Partial")</f>
        <v>0</v>
      </c>
      <c r="D7" s="5" t="n">
        <f aca="false">COUNTIFS('5W1H Gap Analysis'!$A$5:$A$25,$A7,'5W1H Gap Analysis'!$C$5:$C$25,"Missing")</f>
        <v>2</v>
      </c>
      <c r="E7" s="5" t="n">
        <f aca="false">SUM(B7:D7)</f>
        <v>3</v>
      </c>
      <c r="F7" s="6" t="n">
        <f aca="false">IF(E7=0,0,B7/E7)</f>
        <v>0.333333333333333</v>
      </c>
    </row>
    <row r="8" customFormat="false" ht="15" hidden="false" customHeight="false" outlineLevel="0" collapsed="false">
      <c r="A8" s="4" t="s">
        <v>11</v>
      </c>
      <c r="B8" s="5" t="n">
        <f aca="false">COUNTIFS('5W1H Gap Analysis'!$A$5:$A$25,$A8,'5W1H Gap Analysis'!$C$5:$C$25,"Covered")</f>
        <v>1</v>
      </c>
      <c r="C8" s="5" t="n">
        <f aca="false">COUNTIFS('5W1H Gap Analysis'!$A$5:$A$25,$A8,'5W1H Gap Analysis'!$C$5:$C$25,"Partial")</f>
        <v>0</v>
      </c>
      <c r="D8" s="5" t="n">
        <f aca="false">COUNTIFS('5W1H Gap Analysis'!$A$5:$A$25,$A8,'5W1H Gap Analysis'!$C$5:$C$25,"Missing")</f>
        <v>2</v>
      </c>
      <c r="E8" s="5" t="n">
        <f aca="false">SUM(B8:D8)</f>
        <v>3</v>
      </c>
      <c r="F8" s="6" t="n">
        <f aca="false">IF(E8=0,0,B8/E8)</f>
        <v>0.333333333333333</v>
      </c>
    </row>
    <row r="9" customFormat="false" ht="15" hidden="false" customHeight="false" outlineLevel="0" collapsed="false">
      <c r="A9" s="4" t="s">
        <v>12</v>
      </c>
      <c r="B9" s="5" t="n">
        <f aca="false">COUNTIFS('5W1H Gap Analysis'!$A$5:$A$25,$A9,'5W1H Gap Analysis'!$C$5:$C$25,"Covered")</f>
        <v>2</v>
      </c>
      <c r="C9" s="5" t="n">
        <f aca="false">COUNTIFS('5W1H Gap Analysis'!$A$5:$A$25,$A9,'5W1H Gap Analysis'!$C$5:$C$25,"Partial")</f>
        <v>0</v>
      </c>
      <c r="D9" s="5" t="n">
        <f aca="false">COUNTIFS('5W1H Gap Analysis'!$A$5:$A$25,$A9,'5W1H Gap Analysis'!$C$5:$C$25,"Missing")</f>
        <v>2</v>
      </c>
      <c r="E9" s="5" t="n">
        <f aca="false">SUM(B9:D9)</f>
        <v>4</v>
      </c>
      <c r="F9" s="6" t="n">
        <f aca="false">IF(E9=0,0,B9/E9)</f>
        <v>0.5</v>
      </c>
    </row>
    <row r="10" customFormat="false" ht="15" hidden="false" customHeight="false" outlineLevel="0" collapsed="false">
      <c r="A10" s="4" t="s">
        <v>13</v>
      </c>
      <c r="B10" s="5" t="n">
        <f aca="false">COUNTIFS('5W1H Gap Analysis'!$A$5:$A$25,$A10,'5W1H Gap Analysis'!$C$5:$C$25,"Covered")</f>
        <v>1</v>
      </c>
      <c r="C10" s="5" t="n">
        <f aca="false">COUNTIFS('5W1H Gap Analysis'!$A$5:$A$25,$A10,'5W1H Gap Analysis'!$C$5:$C$25,"Partial")</f>
        <v>0</v>
      </c>
      <c r="D10" s="5" t="n">
        <f aca="false">COUNTIFS('5W1H Gap Analysis'!$A$5:$A$25,$A10,'5W1H Gap Analysis'!$C$5:$C$25,"Missing")</f>
        <v>3</v>
      </c>
      <c r="E10" s="5" t="n">
        <f aca="false">SUM(B10:D10)</f>
        <v>4</v>
      </c>
      <c r="F10" s="6" t="n">
        <f aca="false">IF(E10=0,0,B10/E10)</f>
        <v>0.25</v>
      </c>
    </row>
    <row r="11" customFormat="false" ht="15" hidden="false" customHeight="false" outlineLevel="0" collapsed="false">
      <c r="A11" s="4" t="s">
        <v>14</v>
      </c>
      <c r="B11" s="5" t="n">
        <f aca="false">COUNTIF('Shark Tank Extras'!$C$5:$C$10,"Covered")</f>
        <v>0</v>
      </c>
      <c r="C11" s="5" t="n">
        <f aca="false">COUNTIF('Shark Tank Extras'!$C$5:$C$10,"Partial")</f>
        <v>0</v>
      </c>
      <c r="D11" s="5" t="n">
        <f aca="false">COUNTIF('Shark Tank Extras'!$C$5:$C$10,"Missing")</f>
        <v>6</v>
      </c>
      <c r="E11" s="5" t="n">
        <f aca="false">SUM(B11:D11)</f>
        <v>6</v>
      </c>
      <c r="F11" s="6" t="n">
        <f aca="false">IF(E11=0,0,B11/E11)</f>
        <v>0</v>
      </c>
    </row>
    <row r="12" customFormat="false" ht="15" hidden="false" customHeight="false" outlineLevel="0" collapsed="false">
      <c r="A12" s="7" t="s">
        <v>6</v>
      </c>
      <c r="B12" s="8" t="n">
        <f aca="false">SUM(B5:B11)</f>
        <v>7</v>
      </c>
      <c r="C12" s="8" t="n">
        <f aca="false">SUM(C5:C11)</f>
        <v>2</v>
      </c>
      <c r="D12" s="8" t="n">
        <f aca="false">SUM(D5:D11)</f>
        <v>18</v>
      </c>
      <c r="E12" s="8" t="n">
        <f aca="false">SUM(E5:E11)</f>
        <v>27</v>
      </c>
      <c r="F12" s="9" t="n">
        <f aca="false">IF(E12=0,0,B12/E12)</f>
        <v>0.259259259259259</v>
      </c>
    </row>
    <row r="14" customFormat="false" ht="15" hidden="false" customHeight="false" outlineLevel="0" collapsed="false">
      <c r="A14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58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23.85" hidden="false" customHeight="false" outlineLevel="0" collapsed="false">
      <c r="A4" s="3" t="s">
        <v>2</v>
      </c>
      <c r="B4" s="3" t="s">
        <v>18</v>
      </c>
      <c r="C4" s="3" t="s">
        <v>19</v>
      </c>
      <c r="D4" s="3" t="s">
        <v>20</v>
      </c>
      <c r="E4" s="3" t="s">
        <v>21</v>
      </c>
    </row>
    <row r="5" customFormat="false" ht="15" hidden="false" customHeight="false" outlineLevel="0" collapsed="false">
      <c r="A5" s="4" t="s">
        <v>8</v>
      </c>
      <c r="B5" s="10" t="s">
        <v>22</v>
      </c>
      <c r="C5" s="10" t="s">
        <v>3</v>
      </c>
      <c r="D5" s="10" t="s">
        <v>23</v>
      </c>
      <c r="E5" s="10" t="s">
        <v>24</v>
      </c>
    </row>
    <row r="6" customFormat="false" ht="15" hidden="false" customHeight="false" outlineLevel="0" collapsed="false">
      <c r="A6" s="4" t="s">
        <v>8</v>
      </c>
      <c r="B6" s="10" t="s">
        <v>25</v>
      </c>
      <c r="C6" s="10" t="s">
        <v>5</v>
      </c>
      <c r="D6" s="10" t="s">
        <v>26</v>
      </c>
      <c r="E6" s="10" t="s">
        <v>27</v>
      </c>
    </row>
    <row r="7" customFormat="false" ht="15" hidden="false" customHeight="false" outlineLevel="0" collapsed="false">
      <c r="A7" s="4" t="s">
        <v>8</v>
      </c>
      <c r="B7" s="10" t="s">
        <v>28</v>
      </c>
      <c r="C7" s="10" t="s">
        <v>4</v>
      </c>
      <c r="D7" s="10" t="s">
        <v>29</v>
      </c>
      <c r="E7" s="10" t="s">
        <v>30</v>
      </c>
    </row>
    <row r="8" customFormat="false" ht="15" hidden="false" customHeight="false" outlineLevel="0" collapsed="false">
      <c r="A8" s="4" t="s">
        <v>9</v>
      </c>
      <c r="B8" s="10" t="s">
        <v>31</v>
      </c>
      <c r="C8" s="10" t="s">
        <v>3</v>
      </c>
      <c r="D8" s="10" t="s">
        <v>32</v>
      </c>
      <c r="E8" s="10" t="s">
        <v>33</v>
      </c>
    </row>
    <row r="9" customFormat="false" ht="15" hidden="false" customHeight="false" outlineLevel="0" collapsed="false">
      <c r="A9" s="4" t="s">
        <v>9</v>
      </c>
      <c r="B9" s="10" t="s">
        <v>34</v>
      </c>
      <c r="C9" s="10" t="s">
        <v>4</v>
      </c>
      <c r="D9" s="10" t="s">
        <v>35</v>
      </c>
      <c r="E9" s="10" t="s">
        <v>36</v>
      </c>
    </row>
    <row r="10" customFormat="false" ht="15" hidden="false" customHeight="false" outlineLevel="0" collapsed="false">
      <c r="A10" s="4" t="s">
        <v>9</v>
      </c>
      <c r="B10" s="10" t="s">
        <v>37</v>
      </c>
      <c r="C10" s="10" t="s">
        <v>5</v>
      </c>
      <c r="D10" s="10" t="s">
        <v>38</v>
      </c>
      <c r="E10" s="10" t="s">
        <v>39</v>
      </c>
    </row>
    <row r="11" customFormat="false" ht="15" hidden="false" customHeight="false" outlineLevel="0" collapsed="false">
      <c r="A11" s="4" t="s">
        <v>9</v>
      </c>
      <c r="B11" s="10" t="s">
        <v>40</v>
      </c>
      <c r="C11" s="10" t="s">
        <v>5</v>
      </c>
      <c r="D11" s="10" t="s">
        <v>41</v>
      </c>
      <c r="E11" s="10" t="s">
        <v>42</v>
      </c>
    </row>
    <row r="12" customFormat="false" ht="15" hidden="false" customHeight="false" outlineLevel="0" collapsed="false">
      <c r="A12" s="4" t="s">
        <v>10</v>
      </c>
      <c r="B12" s="10" t="s">
        <v>43</v>
      </c>
      <c r="C12" s="10" t="s">
        <v>5</v>
      </c>
      <c r="D12" s="10" t="s">
        <v>44</v>
      </c>
      <c r="E12" s="10" t="s">
        <v>45</v>
      </c>
    </row>
    <row r="13" customFormat="false" ht="15" hidden="false" customHeight="false" outlineLevel="0" collapsed="false">
      <c r="A13" s="4" t="s">
        <v>10</v>
      </c>
      <c r="B13" s="10" t="s">
        <v>46</v>
      </c>
      <c r="C13" s="10" t="s">
        <v>5</v>
      </c>
      <c r="D13" s="10" t="s">
        <v>47</v>
      </c>
      <c r="E13" s="10" t="s">
        <v>48</v>
      </c>
    </row>
    <row r="14" customFormat="false" ht="15" hidden="false" customHeight="false" outlineLevel="0" collapsed="false">
      <c r="A14" s="4" t="s">
        <v>10</v>
      </c>
      <c r="B14" s="10" t="s">
        <v>49</v>
      </c>
      <c r="C14" s="10" t="s">
        <v>3</v>
      </c>
      <c r="D14" s="10" t="s">
        <v>50</v>
      </c>
      <c r="E14" s="10" t="s">
        <v>51</v>
      </c>
    </row>
    <row r="15" customFormat="false" ht="15" hidden="false" customHeight="false" outlineLevel="0" collapsed="false">
      <c r="A15" s="4" t="s">
        <v>11</v>
      </c>
      <c r="B15" s="10" t="s">
        <v>52</v>
      </c>
      <c r="C15" s="10" t="s">
        <v>5</v>
      </c>
      <c r="D15" s="10" t="s">
        <v>53</v>
      </c>
      <c r="E15" s="10" t="s">
        <v>54</v>
      </c>
    </row>
    <row r="16" customFormat="false" ht="15" hidden="false" customHeight="false" outlineLevel="0" collapsed="false">
      <c r="A16" s="4" t="s">
        <v>11</v>
      </c>
      <c r="B16" s="10" t="s">
        <v>55</v>
      </c>
      <c r="C16" s="10" t="s">
        <v>3</v>
      </c>
      <c r="D16" s="10" t="s">
        <v>56</v>
      </c>
      <c r="E16" s="10" t="s">
        <v>57</v>
      </c>
    </row>
    <row r="17" customFormat="false" ht="15" hidden="false" customHeight="false" outlineLevel="0" collapsed="false">
      <c r="A17" s="4" t="s">
        <v>11</v>
      </c>
      <c r="B17" s="10" t="s">
        <v>58</v>
      </c>
      <c r="C17" s="10" t="s">
        <v>5</v>
      </c>
      <c r="D17" s="10" t="s">
        <v>59</v>
      </c>
      <c r="E17" s="10" t="s">
        <v>60</v>
      </c>
    </row>
    <row r="18" customFormat="false" ht="15" hidden="false" customHeight="false" outlineLevel="0" collapsed="false">
      <c r="A18" s="4" t="s">
        <v>12</v>
      </c>
      <c r="B18" s="10" t="s">
        <v>61</v>
      </c>
      <c r="C18" s="10" t="s">
        <v>3</v>
      </c>
      <c r="D18" s="10" t="s">
        <v>62</v>
      </c>
      <c r="E18" s="10" t="s">
        <v>51</v>
      </c>
    </row>
    <row r="19" customFormat="false" ht="23.85" hidden="false" customHeight="false" outlineLevel="0" collapsed="false">
      <c r="A19" s="4" t="s">
        <v>12</v>
      </c>
      <c r="B19" s="10" t="s">
        <v>63</v>
      </c>
      <c r="C19" s="10" t="s">
        <v>3</v>
      </c>
      <c r="D19" s="10" t="s">
        <v>64</v>
      </c>
      <c r="E19" s="10" t="s">
        <v>65</v>
      </c>
    </row>
    <row r="20" customFormat="false" ht="15" hidden="false" customHeight="false" outlineLevel="0" collapsed="false">
      <c r="A20" s="4" t="s">
        <v>12</v>
      </c>
      <c r="B20" s="10" t="s">
        <v>66</v>
      </c>
      <c r="C20" s="10" t="s">
        <v>5</v>
      </c>
      <c r="D20" s="10" t="s">
        <v>67</v>
      </c>
      <c r="E20" s="10" t="s">
        <v>68</v>
      </c>
    </row>
    <row r="21" customFormat="false" ht="23.85" hidden="false" customHeight="false" outlineLevel="0" collapsed="false">
      <c r="A21" s="4" t="s">
        <v>12</v>
      </c>
      <c r="B21" s="10" t="s">
        <v>69</v>
      </c>
      <c r="C21" s="10" t="s">
        <v>5</v>
      </c>
      <c r="D21" s="10" t="s">
        <v>70</v>
      </c>
      <c r="E21" s="10" t="s">
        <v>71</v>
      </c>
    </row>
    <row r="22" customFormat="false" ht="15" hidden="false" customHeight="false" outlineLevel="0" collapsed="false">
      <c r="A22" s="4" t="s">
        <v>13</v>
      </c>
      <c r="B22" s="10" t="s">
        <v>72</v>
      </c>
      <c r="C22" s="10" t="s">
        <v>3</v>
      </c>
      <c r="D22" s="10" t="s">
        <v>73</v>
      </c>
      <c r="E22" s="10" t="s">
        <v>51</v>
      </c>
    </row>
    <row r="23" customFormat="false" ht="15" hidden="false" customHeight="false" outlineLevel="0" collapsed="false">
      <c r="A23" s="4" t="s">
        <v>13</v>
      </c>
      <c r="B23" s="10" t="s">
        <v>74</v>
      </c>
      <c r="C23" s="10" t="s">
        <v>5</v>
      </c>
      <c r="D23" s="10" t="s">
        <v>75</v>
      </c>
      <c r="E23" s="10" t="s">
        <v>76</v>
      </c>
    </row>
    <row r="24" customFormat="false" ht="15" hidden="false" customHeight="false" outlineLevel="0" collapsed="false">
      <c r="A24" s="4" t="s">
        <v>13</v>
      </c>
      <c r="B24" s="10" t="s">
        <v>77</v>
      </c>
      <c r="C24" s="10" t="s">
        <v>5</v>
      </c>
      <c r="D24" s="10" t="s">
        <v>78</v>
      </c>
      <c r="E24" s="10" t="s">
        <v>79</v>
      </c>
    </row>
    <row r="25" customFormat="false" ht="15" hidden="false" customHeight="false" outlineLevel="0" collapsed="false">
      <c r="A25" s="4" t="s">
        <v>13</v>
      </c>
      <c r="B25" s="10" t="s">
        <v>80</v>
      </c>
      <c r="C25" s="10" t="s">
        <v>5</v>
      </c>
      <c r="D25" s="10" t="s">
        <v>78</v>
      </c>
      <c r="E25" s="10" t="s">
        <v>81</v>
      </c>
    </row>
  </sheetData>
  <autoFilter ref="A4:E25"/>
  <conditionalFormatting sqref="C5:C25">
    <cfRule type="cellIs" priority="2" operator="equal" aboveAverage="0" equalAverage="0" bottom="0" percent="0" rank="0" text="" dxfId="9">
      <formula>"Covered"</formula>
    </cfRule>
    <cfRule type="cellIs" priority="3" operator="equal" aboveAverage="0" equalAverage="0" bottom="0" percent="0" rank="0" text="" dxfId="10">
      <formula>"Partial"</formula>
    </cfRule>
    <cfRule type="cellIs" priority="4" operator="equal" aboveAverage="0" equalAverage="0" bottom="0" percent="0" rank="0" text="" dxfId="11">
      <formula>"Missing"</formula>
    </cfRule>
  </conditionalFormatting>
  <dataValidations count="1">
    <dataValidation allowBlank="false" errorStyle="stop" operator="between" showDropDown="false" showErrorMessage="false" showInputMessage="false" sqref="C5:C25" type="list">
      <formula1>"Covered,Partial,Missing"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3" t="s">
        <v>84</v>
      </c>
      <c r="B4" s="3" t="s">
        <v>85</v>
      </c>
      <c r="C4" s="3" t="s">
        <v>86</v>
      </c>
      <c r="D4" s="3" t="s">
        <v>87</v>
      </c>
    </row>
    <row r="5" customFormat="false" ht="15" hidden="false" customHeight="false" outlineLevel="0" collapsed="false">
      <c r="A5" s="4" t="s">
        <v>88</v>
      </c>
      <c r="B5" s="10" t="s">
        <v>89</v>
      </c>
      <c r="C5" s="10" t="s">
        <v>5</v>
      </c>
      <c r="D5" s="10" t="s">
        <v>90</v>
      </c>
    </row>
    <row r="6" customFormat="false" ht="15" hidden="false" customHeight="false" outlineLevel="0" collapsed="false">
      <c r="A6" s="4" t="s">
        <v>91</v>
      </c>
      <c r="B6" s="10" t="s">
        <v>92</v>
      </c>
      <c r="C6" s="10" t="s">
        <v>5</v>
      </c>
      <c r="D6" s="10" t="s">
        <v>93</v>
      </c>
    </row>
    <row r="7" customFormat="false" ht="15" hidden="false" customHeight="false" outlineLevel="0" collapsed="false">
      <c r="A7" s="4" t="s">
        <v>94</v>
      </c>
      <c r="B7" s="10" t="s">
        <v>95</v>
      </c>
      <c r="C7" s="10" t="s">
        <v>5</v>
      </c>
      <c r="D7" s="10" t="s">
        <v>96</v>
      </c>
    </row>
    <row r="8" customFormat="false" ht="15" hidden="false" customHeight="false" outlineLevel="0" collapsed="false">
      <c r="A8" s="4" t="s">
        <v>97</v>
      </c>
      <c r="B8" s="10" t="s">
        <v>98</v>
      </c>
      <c r="C8" s="10" t="s">
        <v>5</v>
      </c>
      <c r="D8" s="10" t="s">
        <v>99</v>
      </c>
    </row>
    <row r="9" customFormat="false" ht="15" hidden="false" customHeight="false" outlineLevel="0" collapsed="false">
      <c r="A9" s="4" t="s">
        <v>100</v>
      </c>
      <c r="B9" s="10" t="s">
        <v>101</v>
      </c>
      <c r="C9" s="10" t="s">
        <v>5</v>
      </c>
      <c r="D9" s="10" t="s">
        <v>102</v>
      </c>
    </row>
    <row r="10" customFormat="false" ht="15" hidden="false" customHeight="false" outlineLevel="0" collapsed="false">
      <c r="A10" s="4" t="s">
        <v>103</v>
      </c>
      <c r="B10" s="10" t="s">
        <v>104</v>
      </c>
      <c r="C10" s="10" t="s">
        <v>5</v>
      </c>
      <c r="D10" s="10" t="s">
        <v>105</v>
      </c>
    </row>
  </sheetData>
  <conditionalFormatting sqref="C5:C10">
    <cfRule type="cellIs" priority="2" operator="equal" aboveAverage="0" equalAverage="0" bottom="0" percent="0" rank="0" text="" dxfId="9">
      <formula>"Covered"</formula>
    </cfRule>
    <cfRule type="cellIs" priority="3" operator="equal" aboveAverage="0" equalAverage="0" bottom="0" percent="0" rank="0" text="" dxfId="10">
      <formula>"Partial"</formula>
    </cfRule>
    <cfRule type="cellIs" priority="4" operator="equal" aboveAverage="0" equalAverage="0" bottom="0" percent="0" rank="0" text="" dxfId="11">
      <formula>"Missing"</formula>
    </cfRule>
  </conditionalFormatting>
  <dataValidations count="1">
    <dataValidation allowBlank="false" errorStyle="stop" operator="between" showDropDown="false" showErrorMessage="false" showInputMessage="false" sqref="C5:C10" type="list">
      <formula1>"Covered,Partial,Missing"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3" t="s">
        <v>108</v>
      </c>
      <c r="B4" s="3" t="s">
        <v>109</v>
      </c>
      <c r="C4" s="3" t="s">
        <v>110</v>
      </c>
      <c r="D4" s="3" t="s">
        <v>111</v>
      </c>
    </row>
    <row r="5" customFormat="false" ht="23.85" hidden="false" customHeight="false" outlineLevel="0" collapsed="false">
      <c r="A5" s="11" t="s">
        <v>112</v>
      </c>
      <c r="B5" s="11" t="s">
        <v>113</v>
      </c>
      <c r="C5" s="11" t="s">
        <v>114</v>
      </c>
      <c r="D5" s="11" t="s">
        <v>115</v>
      </c>
    </row>
    <row r="6" customFormat="false" ht="15" hidden="false" customHeight="false" outlineLevel="0" collapsed="false">
      <c r="A6" s="10" t="n">
        <v>1</v>
      </c>
      <c r="B6" s="10" t="s">
        <v>116</v>
      </c>
      <c r="C6" s="12"/>
      <c r="D6" s="12"/>
    </row>
    <row r="7" customFormat="false" ht="15" hidden="false" customHeight="false" outlineLevel="0" collapsed="false">
      <c r="A7" s="10" t="n">
        <v>2</v>
      </c>
      <c r="B7" s="10" t="s">
        <v>117</v>
      </c>
      <c r="C7" s="12"/>
      <c r="D7" s="12"/>
    </row>
    <row r="8" customFormat="false" ht="15" hidden="false" customHeight="false" outlineLevel="0" collapsed="false">
      <c r="A8" s="10" t="n">
        <v>3</v>
      </c>
      <c r="B8" s="10" t="s">
        <v>118</v>
      </c>
      <c r="C8" s="12"/>
      <c r="D8" s="12"/>
    </row>
    <row r="9" customFormat="false" ht="15" hidden="false" customHeight="false" outlineLevel="0" collapsed="false">
      <c r="A9" s="10" t="n">
        <v>4</v>
      </c>
      <c r="B9" s="10" t="s">
        <v>119</v>
      </c>
      <c r="C9" s="12"/>
      <c r="D9" s="12"/>
    </row>
    <row r="10" customFormat="false" ht="15" hidden="false" customHeight="false" outlineLevel="0" collapsed="false">
      <c r="A10" s="10" t="n">
        <v>5</v>
      </c>
      <c r="B10" s="10" t="s">
        <v>120</v>
      </c>
      <c r="C10" s="12"/>
      <c r="D10" s="12"/>
    </row>
    <row r="12" customFormat="false" ht="15" hidden="false" customHeight="false" outlineLevel="0" collapsed="false">
      <c r="A12" s="2" t="s">
        <v>121</v>
      </c>
    </row>
  </sheetData>
  <dataValidations count="1">
    <dataValidation allowBlank="true" errorStyle="stop" operator="between" showDropDown="false" showErrorMessage="false" showInputMessage="false" sqref="D5:D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2026-10-25T01:39:54Z</dcterms:created>
  <dc:creator>openpyxl</dc:creator>
  <dc:description/>
  <dc:language>en-US</dc:language>
  <cp:lastModifiedBy/>
  <dcterms:modified xsi:type="dcterms:W3CDTF">2026-10-25T01:39:54Z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