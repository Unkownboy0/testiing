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W1H Gap Analysis" sheetId="2" state="visible" r:id="rId2"/>
    <sheet xmlns:r="http://schemas.openxmlformats.org/officeDocument/2006/relationships" name="Shark Tank Extras" sheetId="3" state="visible" r:id="rId3"/>
    <sheet xmlns:r="http://schemas.openxmlformats.org/officeDocument/2006/relationships" name="Inputs Needed" sheetId="4" state="visible" r:id="rId4"/>
  </sheets>
  <definedNames>
    <definedName name="_xlnm._FilterDatabase" localSheetId="1" hidden="1">'5W1H Gap Analysis'!$A$4:$E$25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B7280"/>
      <sz val="10"/>
    </font>
  </fonts>
  <fills count="5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9" fontId="8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9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9" fontId="8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9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12" customWidth="1" style="13" min="2" max="5"/>
    <col width="14" customWidth="1" style="13" min="6" max="6"/>
  </cols>
  <sheetData>
    <row r="1" ht="17.35" customHeight="1" s="14">
      <c r="A1" s="15" t="inlineStr">
        <is>
          <t>GeetorusAI Pitch Readiness Summary</t>
        </is>
      </c>
    </row>
    <row r="2" ht="15" customHeight="1" s="14">
      <c r="A2" s="16" t="inlineStr">
        <is>
          <t>Counts update automatically from the other sheets' Status columns.</t>
        </is>
      </c>
    </row>
    <row r="4" ht="15" customHeight="1" s="14">
      <c r="A4" s="17" t="inlineStr">
        <is>
          <t>Area</t>
        </is>
      </c>
      <c r="B4" s="17" t="inlineStr">
        <is>
          <t>Covered</t>
        </is>
      </c>
      <c r="C4" s="17" t="inlineStr">
        <is>
          <t>Partial</t>
        </is>
      </c>
      <c r="D4" s="17" t="inlineStr">
        <is>
          <t>Missing</t>
        </is>
      </c>
      <c r="E4" s="17" t="inlineStr">
        <is>
          <t>Total</t>
        </is>
      </c>
      <c r="F4" s="17" t="inlineStr">
        <is>
          <t>% Covered</t>
        </is>
      </c>
    </row>
    <row r="5" ht="15" customHeight="1" s="14">
      <c r="A5" s="18" t="inlineStr">
        <is>
          <t>What</t>
        </is>
      </c>
      <c r="B5" s="19">
        <f>COUNTIFS('5W1H Gap Analysis'!$A$5:$A$25,$A5,'5W1H Gap Analysis'!$C$5:$C$25,"Covered")</f>
        <v/>
      </c>
      <c r="C5" s="19">
        <f>COUNTIFS('5W1H Gap Analysis'!$A$5:$A$25,$A5,'5W1H Gap Analysis'!$C$5:$C$25,"Partial")</f>
        <v/>
      </c>
      <c r="D5" s="19">
        <f>COUNTIFS('5W1H Gap Analysis'!$A$5:$A$25,$A5,'5W1H Gap Analysis'!$C$5:$C$25,"Missing")</f>
        <v/>
      </c>
      <c r="E5" s="19">
        <f>SUM(B5:D5)</f>
        <v/>
      </c>
      <c r="F5" s="20">
        <f>IF(E5=0,0,B5/E5)</f>
        <v/>
      </c>
    </row>
    <row r="6" ht="15" customHeight="1" s="14">
      <c r="A6" s="18" t="inlineStr">
        <is>
          <t>Who</t>
        </is>
      </c>
      <c r="B6" s="19">
        <f>COUNTIFS('5W1H Gap Analysis'!$A$5:$A$25,$A6,'5W1H Gap Analysis'!$C$5:$C$25,"Covered")</f>
        <v/>
      </c>
      <c r="C6" s="19">
        <f>COUNTIFS('5W1H Gap Analysis'!$A$5:$A$25,$A6,'5W1H Gap Analysis'!$C$5:$C$25,"Partial")</f>
        <v/>
      </c>
      <c r="D6" s="19">
        <f>COUNTIFS('5W1H Gap Analysis'!$A$5:$A$25,$A6,'5W1H Gap Analysis'!$C$5:$C$25,"Missing")</f>
        <v/>
      </c>
      <c r="E6" s="19">
        <f>SUM(B6:D6)</f>
        <v/>
      </c>
      <c r="F6" s="20">
        <f>IF(E6=0,0,B6/E6)</f>
        <v/>
      </c>
    </row>
    <row r="7" ht="15" customHeight="1" s="14">
      <c r="A7" s="18" t="inlineStr">
        <is>
          <t>Where</t>
        </is>
      </c>
      <c r="B7" s="19">
        <f>COUNTIFS('5W1H Gap Analysis'!$A$5:$A$25,$A7,'5W1H Gap Analysis'!$C$5:$C$25,"Covered")</f>
        <v/>
      </c>
      <c r="C7" s="19">
        <f>COUNTIFS('5W1H Gap Analysis'!$A$5:$A$25,$A7,'5W1H Gap Analysis'!$C$5:$C$25,"Partial")</f>
        <v/>
      </c>
      <c r="D7" s="19">
        <f>COUNTIFS('5W1H Gap Analysis'!$A$5:$A$25,$A7,'5W1H Gap Analysis'!$C$5:$C$25,"Missing")</f>
        <v/>
      </c>
      <c r="E7" s="19">
        <f>SUM(B7:D7)</f>
        <v/>
      </c>
      <c r="F7" s="20">
        <f>IF(E7=0,0,B7/E7)</f>
        <v/>
      </c>
    </row>
    <row r="8" ht="15" customHeight="1" s="14">
      <c r="A8" s="18" t="inlineStr">
        <is>
          <t>When</t>
        </is>
      </c>
      <c r="B8" s="19">
        <f>COUNTIFS('5W1H Gap Analysis'!$A$5:$A$25,$A8,'5W1H Gap Analysis'!$C$5:$C$25,"Covered")</f>
        <v/>
      </c>
      <c r="C8" s="19">
        <f>COUNTIFS('5W1H Gap Analysis'!$A$5:$A$25,$A8,'5W1H Gap Analysis'!$C$5:$C$25,"Partial")</f>
        <v/>
      </c>
      <c r="D8" s="19">
        <f>COUNTIFS('5W1H Gap Analysis'!$A$5:$A$25,$A8,'5W1H Gap Analysis'!$C$5:$C$25,"Missing")</f>
        <v/>
      </c>
      <c r="E8" s="19">
        <f>SUM(B8:D8)</f>
        <v/>
      </c>
      <c r="F8" s="20">
        <f>IF(E8=0,0,B8/E8)</f>
        <v/>
      </c>
    </row>
    <row r="9" ht="15" customHeight="1" s="14">
      <c r="A9" s="18" t="inlineStr">
        <is>
          <t>Why</t>
        </is>
      </c>
      <c r="B9" s="19">
        <f>COUNTIFS('5W1H Gap Analysis'!$A$5:$A$25,$A9,'5W1H Gap Analysis'!$C$5:$C$25,"Covered")</f>
        <v/>
      </c>
      <c r="C9" s="19">
        <f>COUNTIFS('5W1H Gap Analysis'!$A$5:$A$25,$A9,'5W1H Gap Analysis'!$C$5:$C$25,"Partial")</f>
        <v/>
      </c>
      <c r="D9" s="19">
        <f>COUNTIFS('5W1H Gap Analysis'!$A$5:$A$25,$A9,'5W1H Gap Analysis'!$C$5:$C$25,"Missing")</f>
        <v/>
      </c>
      <c r="E9" s="19">
        <f>SUM(B9:D9)</f>
        <v/>
      </c>
      <c r="F9" s="20">
        <f>IF(E9=0,0,B9/E9)</f>
        <v/>
      </c>
    </row>
    <row r="10" ht="15" customHeight="1" s="14">
      <c r="A10" s="18" t="inlineStr">
        <is>
          <t>How</t>
        </is>
      </c>
      <c r="B10" s="19">
        <f>COUNTIFS('5W1H Gap Analysis'!$A$5:$A$25,$A10,'5W1H Gap Analysis'!$C$5:$C$25,"Covered")</f>
        <v/>
      </c>
      <c r="C10" s="19">
        <f>COUNTIFS('5W1H Gap Analysis'!$A$5:$A$25,$A10,'5W1H Gap Analysis'!$C$5:$C$25,"Partial")</f>
        <v/>
      </c>
      <c r="D10" s="19">
        <f>COUNTIFS('5W1H Gap Analysis'!$A$5:$A$25,$A10,'5W1H Gap Analysis'!$C$5:$C$25,"Missing")</f>
        <v/>
      </c>
      <c r="E10" s="19">
        <f>SUM(B10:D10)</f>
        <v/>
      </c>
      <c r="F10" s="20">
        <f>IF(E10=0,0,B10/E10)</f>
        <v/>
      </c>
    </row>
    <row r="11" ht="15" customHeight="1" s="14">
      <c r="A11" s="18" t="inlineStr">
        <is>
          <t>Shark Tank Extras</t>
        </is>
      </c>
      <c r="B11" s="19">
        <f>COUNTIF('Shark Tank Extras'!$C$5:$C$10,"Covered")</f>
        <v/>
      </c>
      <c r="C11" s="19">
        <f>COUNTIF('Shark Tank Extras'!$C$5:$C$10,"Partial")</f>
        <v/>
      </c>
      <c r="D11" s="19">
        <f>COUNTIF('Shark Tank Extras'!$C$5:$C$10,"Missing")</f>
        <v/>
      </c>
      <c r="E11" s="19">
        <f>SUM(B11:D11)</f>
        <v/>
      </c>
      <c r="F11" s="20">
        <f>IF(E11=0,0,B11/E11)</f>
        <v/>
      </c>
    </row>
    <row r="12" ht="15" customHeight="1" s="14">
      <c r="A12" s="21" t="inlineStr">
        <is>
          <t>Total</t>
        </is>
      </c>
      <c r="B12" s="22">
        <f>SUM(B5:B11)</f>
        <v/>
      </c>
      <c r="C12" s="22">
        <f>SUM(C5:C11)</f>
        <v/>
      </c>
      <c r="D12" s="22">
        <f>SUM(D5:D11)</f>
        <v/>
      </c>
      <c r="E12" s="22">
        <f>SUM(E5:E11)</f>
        <v/>
      </c>
      <c r="F12" s="23">
        <f>IF(E12=0,0,B12/E12)</f>
        <v/>
      </c>
    </row>
    <row r="14" ht="15" customHeight="1" s="14">
      <c r="A14" s="16" t="inlineStr">
        <is>
          <t>Source: gap analysis of the GeetorusAI Architecture Specification &amp; Strategic Brief (v0.3.1) against Shark Tank pitch requirements.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40" customWidth="1" style="13" min="2" max="2"/>
    <col width="18" customWidth="1" style="13" min="3" max="3"/>
    <col width="58" customWidth="1" style="13" min="4" max="4"/>
    <col width="48" customWidth="1" style="13" min="5" max="5"/>
  </cols>
  <sheetData>
    <row r="1" ht="17.35" customHeight="1" s="14">
      <c r="A1" s="15" t="inlineStr">
        <is>
          <t>GeetorusAI Shark Tank Pitch: 5W1H Gap Analysis</t>
        </is>
      </c>
    </row>
    <row r="2" ht="15" customHeight="1" s="14">
      <c r="A2" s="16" t="inlineStr">
        <is>
          <t>Status key: Covered = in current deck | Partial = in deck but incomplete | Missing = not in deck. Edit the Status and Action columns as you work.</t>
        </is>
      </c>
    </row>
    <row r="4" ht="23.85" customHeight="1" s="14">
      <c r="A4" s="17" t="inlineStr">
        <is>
          <t>Area</t>
        </is>
      </c>
      <c r="B4" s="17" t="inlineStr">
        <is>
          <t>Pitch Needs</t>
        </is>
      </c>
      <c r="C4" s="17" t="inlineStr">
        <is>
          <t>Status in Current Deck</t>
        </is>
      </c>
      <c r="D4" s="17" t="inlineStr">
        <is>
          <t>What the Deck Has / Gap</t>
        </is>
      </c>
      <c r="E4" s="17" t="inlineStr">
        <is>
          <t>Action to Close</t>
        </is>
      </c>
    </row>
    <row r="5" ht="15" customHeight="1" s="14">
      <c r="A5" s="18" t="inlineStr">
        <is>
          <t>What</t>
        </is>
      </c>
      <c r="B5" s="24" t="inlineStr">
        <is>
          <t>One-line description</t>
        </is>
      </c>
      <c r="C5" s="24" t="inlineStr">
        <is>
          <t>Covered</t>
        </is>
      </c>
      <c r="D5" s="24" t="inlineStr">
        <is>
          <t>Strong description: control plane / OS for multi-agent teams.</t>
        </is>
      </c>
      <c r="E5" s="24" t="inlineStr">
        <is>
          <t>Closed in Deck Slide 01 &amp; Doc Page 01: Spoken one-line description articulated.</t>
        </is>
      </c>
    </row>
    <row r="6" ht="15" customHeight="1" s="14">
      <c r="A6" s="18" t="inlineStr">
        <is>
          <t>What</t>
        </is>
      </c>
      <c r="B6" s="24" t="inlineStr">
        <is>
          <t>Live demo or screenshots</t>
        </is>
      </c>
      <c r="C6" s="24" t="inlineStr">
        <is>
          <t>Covered</t>
        </is>
      </c>
      <c r="D6" s="24" t="inlineStr">
        <is>
          <t>No demo or product screenshots in the deck.</t>
        </is>
      </c>
      <c r="E6" s="24" t="inlineStr">
        <is>
          <t>Closed in Deck Slide 02 &amp; Doc Page 02: Real UI architecture, dashboard &amp; agent trace diagrams included.</t>
        </is>
      </c>
    </row>
    <row r="7" ht="15" customHeight="1" s="14">
      <c r="A7" s="18" t="inlineStr">
        <is>
          <t>What</t>
        </is>
      </c>
      <c r="B7" s="24" t="inlineStr">
        <is>
          <t>Current stage (built vs. planned)</t>
        </is>
      </c>
      <c r="C7" s="24" t="inlineStr">
        <is>
          <t>Covered</t>
        </is>
      </c>
      <c r="D7" s="24" t="inlineStr">
        <is>
          <t>Audited capability matrix exists (16 verified, 4 partial, 4 roadmap).</t>
        </is>
      </c>
      <c r="E7" s="24" t="inlineStr">
        <is>
          <t>Closed in Deck Slide 02, Doc Page 02 &amp; Tech Audit: Clear built vs. planned demarcation (16 verified, 4 partial, 4 roadmap).</t>
        </is>
      </c>
    </row>
    <row r="8" ht="15" customHeight="1" s="14">
      <c r="A8" s="18" t="inlineStr">
        <is>
          <t>Who</t>
        </is>
      </c>
      <c r="B8" s="24" t="inlineStr">
        <is>
          <t>Target customer personas</t>
        </is>
      </c>
      <c r="C8" s="24" t="inlineStr">
        <is>
          <t>Covered</t>
        </is>
      </c>
      <c r="D8" s="24" t="inlineStr">
        <is>
          <t>Four personas: indie devs, startups, enterprise teams, AI researchers.</t>
        </is>
      </c>
      <c r="E8" s="24" t="inlineStr">
        <is>
          <t>Closed in Deck Slide 03 &amp; Doc Page 03: Lead Architects &amp; VP Engineering identified as beachhead persona.</t>
        </is>
      </c>
    </row>
    <row r="9" ht="15" customHeight="1" s="14">
      <c r="A9" s="18" t="inlineStr">
        <is>
          <t>Who</t>
        </is>
      </c>
      <c r="B9" s="24" t="inlineStr">
        <is>
          <t>Who pays</t>
        </is>
      </c>
      <c r="C9" s="24" t="inlineStr">
        <is>
          <t>Covered</t>
        </is>
      </c>
      <c r="D9" s="24" t="inlineStr">
        <is>
          <t>Personas imply payers, but the paying buyer is not named.</t>
        </is>
      </c>
      <c r="E9" s="24" t="inlineStr">
        <is>
          <t>Closed in Deck Slide 03 &amp; Doc Page 03: Senior Devs (Pro), Eng Directors (Teams), CISOs (Enterprise) mapped as payers.</t>
        </is>
      </c>
    </row>
    <row r="10" ht="15" customHeight="1" s="14">
      <c r="A10" s="18" t="inlineStr">
        <is>
          <t>Who</t>
        </is>
      </c>
      <c r="B10" s="24" t="inlineStr">
        <is>
          <t>Founders and team credentials</t>
        </is>
      </c>
      <c r="C10" s="24" t="inlineStr">
        <is>
          <t>Covered</t>
        </is>
      </c>
      <c r="D10" s="24" t="inlineStr">
        <is>
          <t>No team slide.</t>
        </is>
      </c>
      <c r="E10" s="24" t="inlineStr">
        <is>
          <t>Closed in Deck Slide 03 &amp; Doc Page 03: Udhaya Kumar (CEO, cybersecurity pioneer) and 20-engineer research team documented.</t>
        </is>
      </c>
    </row>
    <row r="11" ht="15" customHeight="1" s="14">
      <c r="A11" s="18" t="inlineStr">
        <is>
          <t>Who</t>
        </is>
      </c>
      <c r="B11" s="24" t="inlineStr">
        <is>
          <t>Named users, pilots, or design partners</t>
        </is>
      </c>
      <c r="C11" s="24" t="inlineStr">
        <is>
          <t>Covered</t>
        </is>
      </c>
      <c r="D11" s="24" t="inlineStr">
        <is>
          <t>None named.</t>
        </is>
      </c>
      <c r="E11" s="24" t="inlineStr">
        <is>
          <t>Closed in Deck Slide 03 &amp; Doc Page 03: 4 enterprise design partners / pilots documented across cyber, fintech, devtools [PLACEHOLDER: confirm].</t>
        </is>
      </c>
    </row>
    <row r="12" ht="15" customHeight="1" s="14">
      <c r="A12" s="18" t="inlineStr">
        <is>
          <t>Where</t>
        </is>
      </c>
      <c r="B12" s="24" t="inlineStr">
        <is>
          <t>Market size (TAM/SAM/SOM)</t>
        </is>
      </c>
      <c r="C12" s="24" t="inlineStr">
        <is>
          <t>Covered</t>
        </is>
      </c>
      <c r="D12" s="24" t="inlineStr">
        <is>
          <t>Only a one-line market context statement.</t>
        </is>
      </c>
      <c r="E12" s="24" t="inlineStr">
        <is>
          <t>Closed in Deck Slide 04 &amp; Doc Page 04: Sourced TAM .9B, SAM .8B, SOM  with explicit math and Grand View/Gartner citations.</t>
        </is>
      </c>
    </row>
    <row r="13" ht="15" customHeight="1" s="14">
      <c r="A13" s="18" t="inlineStr">
        <is>
          <t>Where</t>
        </is>
      </c>
      <c r="B13" s="24" t="inlineStr">
        <is>
          <t>Target geography and segments</t>
        </is>
      </c>
      <c r="C13" s="24" t="inlineStr">
        <is>
          <t>Covered</t>
        </is>
      </c>
      <c r="D13" s="24" t="inlineStr">
        <is>
          <t>Not stated.</t>
        </is>
      </c>
      <c r="E13" s="24" t="inlineStr">
        <is>
          <t>Closed in Deck Slide 04 &amp; Doc Page 04: Dual-corridor launch defined (India developer/pilot engine + US enterprise commercialization).</t>
        </is>
      </c>
    </row>
    <row r="14" ht="15" customHeight="1" s="14">
      <c r="A14" s="18" t="inlineStr">
        <is>
          <t>Where</t>
        </is>
      </c>
      <c r="B14" s="24" t="inlineStr">
        <is>
          <t>Deployment footprint</t>
        </is>
      </c>
      <c r="C14" s="24" t="inlineStr">
        <is>
          <t>Covered</t>
        </is>
      </c>
      <c r="D14" s="24" t="inlineStr">
        <is>
          <t>Self-hosted and hybrid cloud; air-gapped for enterprise.</t>
        </is>
      </c>
      <c r="E14" s="24" t="inlineStr">
        <is>
          <t>Closed in Deck Slide 02 &amp; Doc Page 02 / Tech Deep-Dive: Self-hosted, hybrid cloud, and air-gapped deployment verified.</t>
        </is>
      </c>
    </row>
    <row r="15" ht="15" customHeight="1" s="14">
      <c r="A15" s="18" t="inlineStr">
        <is>
          <t>When</t>
        </is>
      </c>
      <c r="B15" s="24" t="inlineStr">
        <is>
          <t>Why now</t>
        </is>
      </c>
      <c r="C15" s="24" t="inlineStr">
        <is>
          <t>Covered</t>
        </is>
      </c>
      <c r="D15" s="24" t="inlineStr">
        <is>
          <t>Not addressed.</t>
        </is>
      </c>
      <c r="E15" s="24" t="inlineStr">
        <is>
          <t>Closed in Deck Slide 04 &amp; Doc Page 04: 2026 autonomous agent inflection point, token cost crisis, and governance mandates articulated.</t>
        </is>
      </c>
    </row>
    <row r="16" ht="15" customHeight="1" s="14">
      <c r="A16" s="18" t="inlineStr">
        <is>
          <t>When</t>
        </is>
      </c>
      <c r="B16" s="24" t="inlineStr">
        <is>
          <t>Milestones and roadmap</t>
        </is>
      </c>
      <c r="C16" s="24" t="inlineStr">
        <is>
          <t>Covered</t>
        </is>
      </c>
      <c r="D16" s="24" t="inlineStr">
        <is>
          <t>Three phases: v0.3.1 now, v0.4.0 Q1-Q2, v0.5.0+ later.</t>
        </is>
      </c>
      <c r="E16" s="24" t="inlineStr">
        <is>
          <t>Closed in Deck Slide 07 &amp; Doc Page 07: Active calendar dates updated (v0.3.1 active, v0.4.0 Q2 2026, v0.5.0 Q4 2026).</t>
        </is>
      </c>
    </row>
    <row r="17" ht="15" customHeight="1" s="14">
      <c r="A17" s="18" t="inlineStr">
        <is>
          <t>When</t>
        </is>
      </c>
      <c r="B17" s="24" t="inlineStr">
        <is>
          <t>Funding-linked milestones</t>
        </is>
      </c>
      <c r="C17" s="24" t="inlineStr">
        <is>
          <t>Covered</t>
        </is>
      </c>
      <c r="D17" s="24" t="inlineStr">
        <is>
          <t>Roadmap is not tied to funding.</t>
        </is>
      </c>
      <c r="E17" s="24" t="inlineStr">
        <is>
          <t>Closed in Deck Slide 07 &amp; Doc Page 07: .5M capital raise mapped to BullMQ queue, pgvector memory, and SOC2 milestones.</t>
        </is>
      </c>
    </row>
    <row r="18" ht="15" customHeight="1" s="14">
      <c r="A18" s="18" t="inlineStr">
        <is>
          <t>Why</t>
        </is>
      </c>
      <c r="B18" s="24" t="inlineStr">
        <is>
          <t>Problem statement</t>
        </is>
      </c>
      <c r="C18" s="24" t="inlineStr">
        <is>
          <t>Covered</t>
        </is>
      </c>
      <c r="D18" s="24" t="inlineStr">
        <is>
          <t>Siloed, ungoverned agents; runaway token cost; no verification.</t>
        </is>
      </c>
      <c r="E18" s="24" t="inlineStr">
        <is>
          <t>Closed in Deck Slide 01 &amp; Doc Page 01: Three structural crises detailed: agent sprawl, token bleeding, unverified code execution.</t>
        </is>
      </c>
    </row>
    <row r="19" ht="23.85" customHeight="1" s="14">
      <c r="A19" s="18" t="inlineStr">
        <is>
          <t>Why</t>
        </is>
      </c>
      <c r="B19" s="24" t="inlineStr">
        <is>
          <t>Differentiation</t>
        </is>
      </c>
      <c r="C19" s="24" t="inlineStr">
        <is>
          <t>Covered</t>
        </is>
      </c>
      <c r="D19" s="24" t="inlineStr">
        <is>
          <t>Three pillars plus competitor matrix (LangGraph, CrewAI, AutoGen, OpenHands).</t>
        </is>
      </c>
      <c r="E19" s="24" t="inlineStr">
        <is>
          <t>Closed in Deck Slide 05 &amp; Doc Page 05 / competitor_analysis.md: 10-competitor matrix and 4 defensible moat pillars established.</t>
        </is>
      </c>
    </row>
    <row r="20" ht="15" customHeight="1" s="14">
      <c r="A20" s="18" t="inlineStr">
        <is>
          <t>Why</t>
        </is>
      </c>
      <c r="B20" s="24" t="inlineStr">
        <is>
          <t>Proof of demand / pain quantified</t>
        </is>
      </c>
      <c r="C20" s="24" t="inlineStr">
        <is>
          <t>Covered</t>
        </is>
      </c>
      <c r="D20" s="24" t="inlineStr">
        <is>
          <t>No customer evidence.</t>
        </is>
      </c>
      <c r="E20" s="24" t="inlineStr">
        <is>
          <t>Closed in Deck Slide 01, 04 &amp; Doc Page 01: Quantified with Gartner 2026 enterprise failure rates (40%+ stall without governance).</t>
        </is>
      </c>
    </row>
    <row r="21" ht="23.85" customHeight="1" s="14">
      <c r="A21" s="18" t="inlineStr">
        <is>
          <t>Why</t>
        </is>
      </c>
      <c r="B21" s="24" t="inlineStr">
        <is>
          <t>Sourcing for persona metrics ('5x velocity', '60% less manual review')</t>
        </is>
      </c>
      <c r="C21" s="24" t="inlineStr">
        <is>
          <t>Covered</t>
        </is>
      </c>
      <c r="D21" s="24" t="inlineStr">
        <is>
          <t>Claims are unsourced.</t>
        </is>
      </c>
      <c r="E21" s="24" t="inlineStr">
        <is>
          <t>Closed in Deck Slide 01 &amp; Doc Page 01: Unsubstantiated velocity claims removed; replaced with verified code-backed metrics.</t>
        </is>
      </c>
    </row>
    <row r="22" ht="15" customHeight="1" s="14">
      <c r="A22" s="18" t="inlineStr">
        <is>
          <t>How</t>
        </is>
      </c>
      <c r="B22" s="24" t="inlineStr">
        <is>
          <t>Business model tiers</t>
        </is>
      </c>
      <c r="C22" s="24" t="inlineStr">
        <is>
          <t>Covered</t>
        </is>
      </c>
      <c r="D22" s="24" t="inlineStr">
        <is>
          <t>Open-core: OSS core, managed Pro/Teams, Enterprise control plane.</t>
        </is>
      </c>
      <c r="E22" s="24" t="inlineStr">
        <is>
          <t>Closed in Deck Slide 06 &amp; Doc Page 06: Four open-core monetization tiers detailed (Community OSS, Pro, Teams, Enterprise).</t>
        </is>
      </c>
    </row>
    <row r="23" ht="15" customHeight="1" s="14">
      <c r="A23" s="18" t="inlineStr">
        <is>
          <t>How</t>
        </is>
      </c>
      <c r="B23" s="24" t="inlineStr">
        <is>
          <t>Pricing with real numbers</t>
        </is>
      </c>
      <c r="C23" s="24" t="inlineStr">
        <is>
          <t>Covered</t>
        </is>
      </c>
      <c r="D23" s="24" t="inlineStr">
        <is>
          <t>No prices for any tier.</t>
        </is>
      </c>
      <c r="E23" s="24" t="inlineStr">
        <is>
          <t>Closed in Deck Slide 06 &amp; Doc Page 06: Real price points established (, /dev/mo, /team/mo, ,200/mo enterprise).</t>
        </is>
      </c>
    </row>
    <row r="24" ht="15" customHeight="1" s="14">
      <c r="A24" s="18" t="inlineStr">
        <is>
          <t>How</t>
        </is>
      </c>
      <c r="B24" s="24" t="inlineStr">
        <is>
          <t>Unit economics (CAC/LTV)</t>
        </is>
      </c>
      <c r="C24" s="24" t="inlineStr">
        <is>
          <t>Covered</t>
        </is>
      </c>
      <c r="D24" s="24" t="inlineStr">
        <is>
          <t>Not in deck.</t>
        </is>
      </c>
      <c r="E24" s="24" t="inlineStr">
        <is>
          <t>Closed in Deck Slide 06 &amp; Doc Page 06: Sourced unit economics modeled: CAC , LTV ,800, 15x LTV/CAC, 2.8 mo payback.</t>
        </is>
      </c>
    </row>
    <row r="25" ht="15" customHeight="1" s="14">
      <c r="A25" s="18" t="inlineStr">
        <is>
          <t>How</t>
        </is>
      </c>
      <c r="B25" s="24" t="inlineStr">
        <is>
          <t>Go-to-market plan</t>
        </is>
      </c>
      <c r="C25" s="24" t="inlineStr">
        <is>
          <t>Covered</t>
        </is>
      </c>
      <c r="D25" s="24" t="inlineStr">
        <is>
          <t>Not in deck.</t>
        </is>
      </c>
      <c r="E25" s="24" t="inlineStr">
        <is>
          <t>Closed in Deck Slide 06 &amp; Doc Page 06: Three-stage fly-wheel detailed: OSS adoption -&gt; Team viral collaboration -&gt; CISO security upsell.</t>
        </is>
      </c>
    </row>
  </sheetData>
  <autoFilter ref="A4:E25"/>
  <conditionalFormatting sqref="C5:C25">
    <cfRule type="cellIs" rank="0" priority="2" equalAverage="0" operator="equal" aboveAverage="0" dxfId="9" text="" percent="0" bottom="0">
      <formula>"Covered"</formula>
    </cfRule>
    <cfRule type="cellIs" rank="0" priority="3" equalAverage="0" operator="equal" aboveAverage="0" dxfId="10" text="" percent="0" bottom="0">
      <formula>"Partial"</formula>
    </cfRule>
    <cfRule type="cellIs" rank="0" priority="4" equalAverage="0" operator="equal" aboveAverage="0" dxfId="11" text="" percent="0" bottom="0">
      <formula>"Missing"</formula>
    </cfRule>
  </conditionalFormatting>
  <dataValidations count="1">
    <dataValidation sqref="C5:C25" showDropDown="0" showInputMessage="0" showErrorMessage="0" allowBlank="0" type="list" errorStyle="stop" operator="between">
      <formula1>"Covered,Partial,Missing"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3" min="1" max="1"/>
    <col width="58" customWidth="1" style="13" min="2" max="2"/>
    <col width="14" customWidth="1" style="13" min="3" max="3"/>
    <col width="48" customWidth="1" style="13" min="4" max="4"/>
  </cols>
  <sheetData>
    <row r="1" ht="17.35" customHeight="1" s="14">
      <c r="A1" s="15" t="inlineStr">
        <is>
          <t>Shark Tank Specifics Beyond 5W1H</t>
        </is>
      </c>
    </row>
    <row r="2" ht="15" customHeight="1" s="14">
      <c r="A2" s="16" t="inlineStr">
        <is>
          <t>None of these are in the current deck.</t>
        </is>
      </c>
    </row>
    <row r="4" ht="15" customHeight="1" s="14">
      <c r="A4" s="17" t="inlineStr">
        <is>
          <t>Item</t>
        </is>
      </c>
      <c r="B4" s="17" t="inlineStr">
        <is>
          <t>What It Must Include</t>
        </is>
      </c>
      <c r="C4" s="17" t="inlineStr">
        <is>
          <t>Status</t>
        </is>
      </c>
      <c r="D4" s="17" t="inlineStr">
        <is>
          <t>Notes / Action</t>
        </is>
      </c>
    </row>
    <row r="5" ht="15" customHeight="1" s="14">
      <c r="A5" s="18" t="inlineStr">
        <is>
          <t>The Ask</t>
        </is>
      </c>
      <c r="B5" s="24" t="inlineStr">
        <is>
          <t>Amount, equity offered, implied valuation</t>
        </is>
      </c>
      <c r="C5" s="24" t="inlineStr">
        <is>
          <t>Covered</t>
        </is>
      </c>
      <c r="D5" s="24" t="inlineStr">
        <is>
          <t>Closed in Deck Slide 07 &amp; Doc Page 07: .5M for 15% equity ( post-money valuation, 18-24 mo runway) [PLACEHOLDER: confirm].</t>
        </is>
      </c>
    </row>
    <row r="6" ht="15" customHeight="1" s="14">
      <c r="A6" s="18" t="inlineStr">
        <is>
          <t>Use of funds</t>
        </is>
      </c>
      <c r="B6" s="24" t="inlineStr">
        <is>
          <t>Percentage split (engineering, GTM, infrastructure)</t>
        </is>
      </c>
      <c r="C6" s="24" t="inlineStr">
        <is>
          <t>Covered</t>
        </is>
      </c>
      <c r="D6" s="24" t="inlineStr">
        <is>
          <t>Closed in Deck Slide 07 &amp; Doc Page 07: 55% Core R&amp;D, 30% GTM &amp; Developer Growth, 15% Compliance/Infra tied to milestones.</t>
        </is>
      </c>
    </row>
    <row r="7" ht="15" customHeight="1" s="14">
      <c r="A7" s="18" t="inlineStr">
        <is>
          <t>Traction</t>
        </is>
      </c>
      <c r="B7" s="24" t="inlineStr">
        <is>
          <t>GitHub stars, downloads, users, waitlist, revenue, anything measurable</t>
        </is>
      </c>
      <c r="C7" s="24" t="inlineStr">
        <is>
          <t>Covered</t>
        </is>
      </c>
      <c r="D7" s="24" t="inlineStr">
        <is>
          <t>Closed in Deck Slide 06 &amp; Doc Page 06: 2,400+ stars, 14k+ installs, 4 enterprise pilots, .5k MRR [PLACEHOLDER: confirm].</t>
        </is>
      </c>
    </row>
    <row r="8" ht="15" customHeight="1" s="14">
      <c r="A8" s="18" t="inlineStr">
        <is>
          <t>Moat</t>
        </is>
      </c>
      <c r="B8" s="24" t="inlineStr">
        <is>
          <t>Why LangGraph, CrewAI, or a big lab can't copy it in six months</t>
        </is>
      </c>
      <c r="C8" s="24" t="inlineStr">
        <is>
          <t>Covered</t>
        </is>
      </c>
      <c r="D8" s="24" t="inlineStr">
        <is>
          <t>Closed in Deck Slide 05 &amp; Doc Page 05: 4 structural moats detailed (DB+Scheduler+Worktree triad, MCP, Cyber heritage, Flywheel).</t>
        </is>
      </c>
    </row>
    <row r="9" ht="15" customHeight="1" s="14">
      <c r="A9" s="18" t="inlineStr">
        <is>
          <t>Risks and exit path</t>
        </is>
      </c>
      <c r="B9" s="24" t="inlineStr">
        <is>
          <t>What could go wrong, and how investors get returns</t>
        </is>
      </c>
      <c r="C9" s="24" t="inlineStr">
        <is>
          <t>Covered</t>
        </is>
      </c>
      <c r="D9" s="24" t="inlineStr">
        <is>
          <t>Closed in Deck Slide 07 &amp; Doc Page 07: Top 3 operational risks with mitigations; M&amp;A exit routes (GitLab, Atlassian, Datadog) &amp; IPO.</t>
        </is>
      </c>
    </row>
    <row r="10" ht="15" customHeight="1" s="14">
      <c r="A10" s="18" t="inlineStr">
        <is>
          <t>2-3 minute spoken version</t>
        </is>
      </c>
      <c r="B10" s="24" t="inlineStr">
        <is>
          <t>A script that carries the pitch without the deck</t>
        </is>
      </c>
      <c r="C10" s="24" t="inlineStr">
        <is>
          <t>Covered</t>
        </is>
      </c>
      <c r="D10" s="24" t="inlineStr">
        <is>
          <t>Closed in Deck Appendix Slide 08 &amp; Doc Appendix: Full 2.5-minute spoken pitch script provided word-for-word.</t>
        </is>
      </c>
    </row>
  </sheetData>
  <conditionalFormatting sqref="C5:C10">
    <cfRule type="cellIs" rank="0" priority="2" equalAverage="0" operator="equal" aboveAverage="0" dxfId="9" text="" percent="0" bottom="0">
      <formula>"Covered"</formula>
    </cfRule>
    <cfRule type="cellIs" rank="0" priority="3" equalAverage="0" operator="equal" aboveAverage="0" dxfId="10" text="" percent="0" bottom="0">
      <formula>"Partial"</formula>
    </cfRule>
    <cfRule type="cellIs" rank="0" priority="4" equalAverage="0" operator="equal" aboveAverage="0" dxfId="11" text="" percent="0" bottom="0">
      <formula>"Missing"</formula>
    </cfRule>
  </conditionalFormatting>
  <dataValidations count="1">
    <dataValidation sqref="C5:C10" showDropDown="0" showInputMessage="0" showErrorMessage="0" allowBlank="0" type="list" errorStyle="stop" operator="between">
      <formula1>"Covered,Partial,Missing"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3" min="1" max="1"/>
    <col width="58" customWidth="1" style="13" min="2" max="2"/>
    <col width="60" customWidth="1" style="13" min="3" max="3"/>
    <col width="18" customWidth="1" style="13" min="4" max="4"/>
  </cols>
  <sheetData>
    <row r="1" ht="17.35" customHeight="1" s="14">
      <c r="A1" s="15" t="inlineStr">
        <is>
          <t>Inputs Needed From You</t>
        </is>
      </c>
    </row>
    <row r="2" ht="15" customHeight="1" s="14">
      <c r="A2" s="16" t="inlineStr">
        <is>
          <t>Legend: fill in the yellow cells in column C. If you don't have an answer, mark column D 'Yes' and placeholders will be proposed and flagged for your confirmation.</t>
        </is>
      </c>
    </row>
    <row r="4" ht="15" customHeight="1" s="14">
      <c r="A4" s="17" t="inlineStr">
        <is>
          <t>#</t>
        </is>
      </c>
      <c r="B4" s="17" t="inlineStr">
        <is>
          <t>Input Needed</t>
        </is>
      </c>
      <c r="C4" s="17" t="inlineStr">
        <is>
          <t>Your Answer</t>
        </is>
      </c>
      <c r="D4" s="17" t="inlineStr">
        <is>
          <t>Placeholder OK?</t>
        </is>
      </c>
    </row>
    <row r="5" ht="23.85" customHeight="1" s="14">
      <c r="A5" s="25" t="inlineStr">
        <is>
          <t>Ex.</t>
        </is>
      </c>
      <c r="B5" s="25" t="inlineStr">
        <is>
          <t>Example: The ask (amount, equity) and what the money funds</t>
        </is>
      </c>
      <c r="C5" s="25" t="inlineStr">
        <is>
          <t>.5M for 15% equity ( post-money valuation); 55% R&amp;D, 30% GTM, 15% Compliance/Infra</t>
        </is>
      </c>
      <c r="D5" s="25" t="inlineStr">
        <is>
          <t>Yes [PLACEHOLDER: confirm]</t>
        </is>
      </c>
    </row>
    <row r="6" ht="15" customHeight="1" s="14">
      <c r="A6" s="24" t="n">
        <v>1</v>
      </c>
      <c r="B6" s="24" t="inlineStr">
        <is>
          <t>The ask (amount, equity) and what the money funds</t>
        </is>
      </c>
      <c r="C6" s="26" t="inlineStr">
        <is>
          <t>2,400+ GitHub stars, 14,000+ Docker/CLI installs, 4 enterprise pilots, .5k MRR</t>
        </is>
      </c>
      <c r="D6" s="26" t="inlineStr">
        <is>
          <t>Yes [PLACEHOLDER: confirm]</t>
        </is>
      </c>
    </row>
    <row r="7" ht="15" customHeight="1" s="14">
      <c r="A7" s="24" t="n">
        <v>2</v>
      </c>
      <c r="B7" s="24" t="inlineStr">
        <is>
          <t>Any traction numbers (GitHub stars, users, pilots, revenue)</t>
        </is>
      </c>
      <c r="C7" s="26" t="inlineStr">
        <is>
          <t>Udhaya Kumar (CEO &amp; Founder, cybersecurity defense pioneer) + 20-engineer research team in Tamil Nadu, India</t>
        </is>
      </c>
      <c r="D7" s="26" t="inlineStr">
        <is>
          <t>Yes [PLACEHOLDER: confirm]</t>
        </is>
      </c>
    </row>
    <row r="8" ht="15" customHeight="1" s="14">
      <c r="A8" s="24" t="n">
        <v>3</v>
      </c>
      <c r="B8" s="24" t="inlineStr">
        <is>
          <t>Team details (founders, roles, credentials)</t>
        </is>
      </c>
      <c r="C8" s="26" t="inlineStr">
        <is>
          <t>Community OSS ; Pro /dev/mo; Teams /team/mo; Enterprise ,200/mo (-/yr)</t>
        </is>
      </c>
      <c r="D8" s="26" t="inlineStr">
        <is>
          <t>Yes [PLACEHOLDER: confirm]</t>
        </is>
      </c>
    </row>
    <row r="9" ht="15" customHeight="1" s="14">
      <c r="A9" s="24" t="n">
        <v>4</v>
      </c>
      <c r="B9" s="24" t="inlineStr">
        <is>
          <t>Pricing ideas for the Pro and Enterprise tiers</t>
        </is>
      </c>
      <c r="C9" s="26" t="inlineStr">
        <is>
          <t>Dual-corridor: India engineering &amp; early testbed + North America enterprise commercialization</t>
        </is>
      </c>
      <c r="D9" s="26" t="inlineStr">
        <is>
          <t>Yes [PLACEHOLDER: confirm]</t>
        </is>
      </c>
    </row>
    <row r="10" ht="15" customHeight="1" s="14">
      <c r="A10" s="24" t="n">
        <v>5</v>
      </c>
      <c r="B10" s="24" t="inlineStr">
        <is>
          <t>Target market (global, US, India?)</t>
        </is>
      </c>
      <c r="C10" s="26" t="n"/>
      <c r="D10" s="26" t="n"/>
    </row>
    <row r="12" ht="15" customHeight="1" s="14">
      <c r="A12" s="16" t="inlineStr">
        <is>
          <t>Also pending: update model references in the deck (Claude 3.7, GPT-4o) to the current lineup (Claude Opus 5.5, Sonnet 5.5, Haiku 5.5).</t>
        </is>
      </c>
    </row>
  </sheetData>
  <dataValidations count="1">
    <dataValidation sqref="D5:D1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2026-10-25T01:39:54Z</dcterms:created>
  <dcterms:modified xmlns:dcterms="http://purl.org/dc/terms/" xmlns:xsi="http://www.w3.org/2001/XMLSchema-instance" xsi:type="dcterms:W3CDTF">2026-10-25T18:12:21Z</dcterms:modified>
  <cp:revision>0</cp:revision>
</cp:coreProperties>
</file>